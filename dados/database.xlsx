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ycharmProjects\pythonProject1\ine_project\dados\"/>
    </mc:Choice>
  </mc:AlternateContent>
  <bookViews>
    <workbookView xWindow="0" yWindow="0" windowWidth="19200" windowHeight="6640"/>
  </bookViews>
  <sheets>
    <sheet name="Ban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6" i="1" l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<sst xmlns="http://schemas.openxmlformats.org/spreadsheetml/2006/main" count="15" uniqueCount="14">
  <si>
    <t>Mês</t>
  </si>
  <si>
    <t>Crédito à Economia</t>
  </si>
  <si>
    <t>Reservas Obrigatórias</t>
  </si>
  <si>
    <t>Crédito Interno</t>
  </si>
  <si>
    <t>Crédito ao Governo</t>
  </si>
  <si>
    <t>Em moeda estrangeira</t>
  </si>
  <si>
    <t>Dinheiro e Quase-Dinheiro</t>
  </si>
  <si>
    <t>Notas e Moeda em Circulação</t>
  </si>
  <si>
    <t>Depósitos</t>
  </si>
  <si>
    <t>DMN</t>
  </si>
  <si>
    <t>DME</t>
  </si>
  <si>
    <t>Base Monetária</t>
  </si>
  <si>
    <t>Inflação</t>
  </si>
  <si>
    <t>Taxa de juros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</si>
</sst>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#,##0.0"/>
  </numFmts>
  <fonts count="6">
    <font>
      <sz val="11"/>
      <color theme="1"/>
      <name val="Calibri"/>
      <family val="2"/>
      <scheme val="minor"/>
    </font>
    <font>
      <sz val="10"/>
      <name val="Times New Roman"/>
      <charset val="134"/>
    </font>
    <font>
      <i/>
      <sz val="10"/>
      <name val="Times New Roman"/>
      <family val="1"/>
    </font>
    <font>
      <sz val="10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 applyProtection="1">
      <alignment horizontal="center"/>
      <protection locked="0"/>
    </xf>
    <xf numFmtId="164" fontId="3" fillId="0" borderId="0" xfId="0" applyNumberFormat="1" applyFont="1"/>
    <xf numFmtId="0" fontId="4" fillId="0" borderId="0" xfId="0" applyFont="1"/>
    <xf numFmtId="165" fontId="5" fillId="0" borderId="0" xfId="1" applyNumberFormat="1" applyFont="1"/>
    <xf numFmtId="165" fontId="5" fillId="0" borderId="0" xfId="1" applyNumberFormat="1" applyFont="1" applyProtection="1"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abSelected="1" topLeftCell="F1" workbookViewId="0">
      <selection activeCell="M1" sqref="M1:N2"/>
    </sheetView>
  </sheetViews>
  <sheetFormatPr defaultRowHeight="14.5"/>
  <cols>
    <col min="1" max="1" width="9.36328125" bestFit="1" customWidth="1"/>
    <col min="2" max="2" width="17.1796875" bestFit="1" customWidth="1"/>
    <col min="3" max="3" width="15.1796875" bestFit="1" customWidth="1"/>
    <col min="4" max="4" width="10.08984375" bestFit="1" customWidth="1"/>
    <col min="5" max="5" width="13.36328125" bestFit="1" customWidth="1"/>
    <col min="6" max="6" width="13.6328125" bestFit="1" customWidth="1"/>
    <col min="7" max="7" width="15.453125" bestFit="1" customWidth="1"/>
  </cols>
  <sheetData>
    <row r="1" spans="1:15">
      <c r="A1" s="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t="s">
        <v>11</v>
      </c>
      <c r="N1" t="s">
        <v>12</v>
      </c>
      <c r="O1" t="s">
        <v>13</v>
      </c>
    </row>
    <row r="2" spans="1:15">
      <c r="A2" s="2">
        <v>43313</v>
      </c>
      <c r="B2">
        <v>221660.29109023101</v>
      </c>
      <c r="C2" s="3">
        <f t="shared" ref="C2:C10" si="0">0.14*K2+0.27*L2</f>
        <v>77736.071428230105</v>
      </c>
      <c r="D2" s="3">
        <v>252827.051451179</v>
      </c>
      <c r="E2" s="3">
        <v>247494.257343896</v>
      </c>
      <c r="F2" s="3">
        <v>221660.29109023101</v>
      </c>
      <c r="G2" s="3">
        <v>47974.796991919698</v>
      </c>
      <c r="H2" s="3">
        <v>395505.61428196798</v>
      </c>
      <c r="I2" s="3">
        <v>35649.818108799998</v>
      </c>
      <c r="J2" s="3">
        <v>359855.796173168</v>
      </c>
      <c r="K2" s="4">
        <v>357229.65057486203</v>
      </c>
      <c r="L2" s="4">
        <v>102681.18647314599</v>
      </c>
      <c r="M2">
        <v>105874.21</v>
      </c>
      <c r="N2">
        <v>0.26</v>
      </c>
      <c r="O2">
        <v>21.75</v>
      </c>
    </row>
    <row r="3" spans="1:15">
      <c r="A3" s="2">
        <v>43344</v>
      </c>
      <c r="B3">
        <v>222038.17363421599</v>
      </c>
      <c r="C3" s="3">
        <f t="shared" si="0"/>
        <v>78704.689301363178</v>
      </c>
      <c r="D3" s="3">
        <v>258713.31149060099</v>
      </c>
      <c r="E3" s="3">
        <v>248466.67857202</v>
      </c>
      <c r="F3" s="3">
        <v>222038.17363421599</v>
      </c>
      <c r="G3" s="3">
        <v>48853.925519638702</v>
      </c>
      <c r="H3" s="3">
        <v>394727.84711136401</v>
      </c>
      <c r="I3" s="3">
        <v>33302.991218050003</v>
      </c>
      <c r="J3" s="3">
        <v>361424.855893314</v>
      </c>
      <c r="K3" s="4">
        <v>359855.796173168</v>
      </c>
      <c r="L3" s="4">
        <v>104906.954952295</v>
      </c>
      <c r="M3">
        <v>113602.5</v>
      </c>
      <c r="N3">
        <v>0.11</v>
      </c>
      <c r="O3">
        <v>21.75</v>
      </c>
    </row>
    <row r="4" spans="1:15">
      <c r="A4" s="2">
        <v>43374</v>
      </c>
      <c r="B4">
        <v>223384.08337003199</v>
      </c>
      <c r="C4" s="3">
        <f t="shared" si="0"/>
        <v>79332.757355544192</v>
      </c>
      <c r="D4" s="3">
        <v>266935.17614288902</v>
      </c>
      <c r="E4" s="3">
        <v>253246.53730140399</v>
      </c>
      <c r="F4" s="3">
        <v>223384.08337003199</v>
      </c>
      <c r="G4" s="3">
        <v>48726.181820883903</v>
      </c>
      <c r="H4" s="3">
        <v>399876.43654960103</v>
      </c>
      <c r="I4" s="3">
        <v>33827.299249360003</v>
      </c>
      <c r="J4" s="3">
        <v>366049.13730024098</v>
      </c>
      <c r="K4" s="4">
        <v>361424.855893314</v>
      </c>
      <c r="L4" s="4">
        <v>106419.546409186</v>
      </c>
      <c r="M4">
        <v>112409.98</v>
      </c>
      <c r="N4">
        <v>7.0000000000000007E-2</v>
      </c>
      <c r="O4">
        <v>20.399999999999999</v>
      </c>
    </row>
    <row r="5" spans="1:15">
      <c r="A5" s="2">
        <v>43405</v>
      </c>
      <c r="B5">
        <v>229160.450082211</v>
      </c>
      <c r="C5" s="3">
        <f t="shared" si="0"/>
        <v>80175.790041929489</v>
      </c>
      <c r="D5" s="3">
        <v>272768.87304842699</v>
      </c>
      <c r="E5" s="3">
        <v>259025.23965186399</v>
      </c>
      <c r="F5" s="3">
        <v>229160.450082211</v>
      </c>
      <c r="G5" s="3">
        <v>51956.549069417903</v>
      </c>
      <c r="H5" s="3">
        <v>406180.797512085</v>
      </c>
      <c r="I5" s="3">
        <v>36675.777981799998</v>
      </c>
      <c r="J5" s="3">
        <v>369505.01953028498</v>
      </c>
      <c r="K5" s="4">
        <v>366049.13730024098</v>
      </c>
      <c r="L5" s="4">
        <v>107144.114147762</v>
      </c>
      <c r="M5">
        <v>127311.87</v>
      </c>
      <c r="N5">
        <v>0.27</v>
      </c>
      <c r="O5">
        <v>20.2</v>
      </c>
    </row>
    <row r="6" spans="1:15">
      <c r="A6" s="2">
        <v>43435</v>
      </c>
      <c r="B6">
        <v>219982.14515362299</v>
      </c>
      <c r="C6" s="3">
        <f t="shared" si="0"/>
        <v>79854.614519187322</v>
      </c>
      <c r="D6" s="3">
        <v>274117.04011702299</v>
      </c>
      <c r="E6" s="3">
        <v>250639.573314715</v>
      </c>
      <c r="F6" s="3">
        <v>219982.14515362299</v>
      </c>
      <c r="G6" s="3">
        <v>44614.546767296801</v>
      </c>
      <c r="H6" s="3">
        <v>417571.66676480498</v>
      </c>
      <c r="I6" s="3">
        <v>36703.764317640002</v>
      </c>
      <c r="J6" s="3">
        <v>380867.90244716499</v>
      </c>
      <c r="K6" s="4">
        <v>369505.01953028498</v>
      </c>
      <c r="L6" s="4">
        <v>104162.63624054599</v>
      </c>
      <c r="M6">
        <v>128213.4</v>
      </c>
      <c r="N6">
        <v>0.37</v>
      </c>
      <c r="O6">
        <v>20.2</v>
      </c>
    </row>
    <row r="7" spans="1:15">
      <c r="A7" s="2">
        <v>43466</v>
      </c>
      <c r="B7">
        <v>222267.534248123</v>
      </c>
      <c r="C7" s="3">
        <f t="shared" si="0"/>
        <v>82149.011776147498</v>
      </c>
      <c r="D7" s="3">
        <v>279544.38398787502</v>
      </c>
      <c r="E7" s="3">
        <v>274880.25048619998</v>
      </c>
      <c r="F7" s="3">
        <v>222267.534248123</v>
      </c>
      <c r="G7" s="3">
        <v>44095.235840253001</v>
      </c>
      <c r="H7" s="3">
        <v>419494.41655359103</v>
      </c>
      <c r="I7" s="3">
        <v>34022.894564809998</v>
      </c>
      <c r="J7" s="3">
        <v>385471.52198878099</v>
      </c>
      <c r="K7" s="4">
        <v>380867.90244716499</v>
      </c>
      <c r="L7" s="4">
        <v>106768.538642757</v>
      </c>
      <c r="M7">
        <v>118113.5</v>
      </c>
      <c r="N7">
        <v>0.65</v>
      </c>
      <c r="O7">
        <v>19.899999999999999</v>
      </c>
    </row>
    <row r="8" spans="1:15">
      <c r="A8" s="2">
        <v>43497</v>
      </c>
      <c r="B8">
        <v>224661.203498102</v>
      </c>
      <c r="C8" s="3">
        <f t="shared" si="0"/>
        <v>83353.384428920166</v>
      </c>
      <c r="D8" s="3">
        <v>281081.791444904</v>
      </c>
      <c r="E8" s="3">
        <v>270548.85795749997</v>
      </c>
      <c r="F8" s="3">
        <v>224661.203498102</v>
      </c>
      <c r="G8" s="3">
        <v>42142.238243147403</v>
      </c>
      <c r="H8" s="3">
        <v>420524.19740222499</v>
      </c>
      <c r="I8" s="3">
        <v>34118.587137180002</v>
      </c>
      <c r="J8" s="3">
        <v>386405.61026504502</v>
      </c>
      <c r="K8" s="4">
        <v>385471.52198878099</v>
      </c>
      <c r="L8" s="4">
        <v>108842.116112929</v>
      </c>
      <c r="M8">
        <v>117401.7</v>
      </c>
      <c r="N8">
        <v>0.3</v>
      </c>
      <c r="O8">
        <v>19.5</v>
      </c>
    </row>
    <row r="9" spans="1:15">
      <c r="A9" s="2">
        <v>43525</v>
      </c>
      <c r="B9">
        <v>225756.135177844</v>
      </c>
      <c r="C9" s="3">
        <f t="shared" si="0"/>
        <v>84112.501430031363</v>
      </c>
      <c r="D9" s="3">
        <v>286301.765784994</v>
      </c>
      <c r="E9" s="3">
        <v>266052.84845478</v>
      </c>
      <c r="F9" s="3">
        <v>225756.135177844</v>
      </c>
      <c r="G9" s="3">
        <v>40712.621602483501</v>
      </c>
      <c r="H9" s="3">
        <v>425677.53091084101</v>
      </c>
      <c r="I9" s="3">
        <v>35488.416215270001</v>
      </c>
      <c r="J9" s="3">
        <v>390189.11469557101</v>
      </c>
      <c r="K9" s="4">
        <v>386405.61026504502</v>
      </c>
      <c r="L9" s="4">
        <v>111169.318492315</v>
      </c>
      <c r="M9">
        <v>134041.5</v>
      </c>
      <c r="N9">
        <v>0.67</v>
      </c>
      <c r="O9">
        <v>19.5</v>
      </c>
    </row>
    <row r="10" spans="1:15">
      <c r="A10" s="2">
        <v>43556</v>
      </c>
      <c r="B10">
        <v>227332.65915534299</v>
      </c>
      <c r="C10" s="3">
        <f t="shared" si="0"/>
        <v>86015.965137397245</v>
      </c>
      <c r="D10" s="3">
        <v>287840.14909499203</v>
      </c>
      <c r="E10" s="3">
        <v>256660.06082894999</v>
      </c>
      <c r="F10" s="3">
        <v>227332.65915534299</v>
      </c>
      <c r="G10" s="3">
        <v>41070.180706285901</v>
      </c>
      <c r="H10" s="3">
        <v>426173.08287049702</v>
      </c>
      <c r="I10" s="3">
        <v>34207.664267369997</v>
      </c>
      <c r="J10" s="3">
        <v>391965.41860312701</v>
      </c>
      <c r="K10" s="4">
        <v>390189.11469557101</v>
      </c>
      <c r="L10" s="4">
        <v>116257.366963027</v>
      </c>
      <c r="M10">
        <v>150794.70000000001</v>
      </c>
      <c r="N10">
        <v>0.28999999999999998</v>
      </c>
      <c r="O10">
        <v>19.5</v>
      </c>
    </row>
    <row r="11" spans="1:15">
      <c r="A11" s="2">
        <v>43586</v>
      </c>
      <c r="B11">
        <v>227636.01383921099</v>
      </c>
      <c r="C11" s="3">
        <f>0.14*K11+0.36*L11</f>
        <v>96251.891175433178</v>
      </c>
      <c r="D11" s="3">
        <v>285487.22972890601</v>
      </c>
      <c r="E11" s="3">
        <v>270235.33224103</v>
      </c>
      <c r="F11" s="3">
        <v>227636.01383921099</v>
      </c>
      <c r="G11" s="3">
        <v>39840.419170061701</v>
      </c>
      <c r="H11" s="3">
        <v>429024.76143166597</v>
      </c>
      <c r="I11" s="3">
        <v>37017.730966490002</v>
      </c>
      <c r="J11" s="3">
        <v>392007.03046517598</v>
      </c>
      <c r="K11" s="4">
        <v>391965.41860312701</v>
      </c>
      <c r="L11" s="4">
        <v>114935.36825276499</v>
      </c>
      <c r="M11">
        <v>135803</v>
      </c>
      <c r="N11">
        <v>-0.31</v>
      </c>
      <c r="O11">
        <v>19.5</v>
      </c>
    </row>
    <row r="12" spans="1:15">
      <c r="A12" s="2">
        <v>43617</v>
      </c>
      <c r="B12">
        <v>226090.677965337</v>
      </c>
      <c r="C12" s="3">
        <f>0.14*K12+0.36*L12</f>
        <v>95739.204995117325</v>
      </c>
      <c r="D12" s="3">
        <v>285435.91386324703</v>
      </c>
      <c r="E12" s="3">
        <v>274410.02112039702</v>
      </c>
      <c r="F12" s="3">
        <v>226090.677965337</v>
      </c>
      <c r="G12" s="3">
        <v>39122.719411073798</v>
      </c>
      <c r="H12" s="3">
        <v>434843.74446130701</v>
      </c>
      <c r="I12" s="3">
        <v>39285.476750239999</v>
      </c>
      <c r="J12" s="3">
        <v>395558.26771106699</v>
      </c>
      <c r="K12" s="4">
        <v>392007.03046517598</v>
      </c>
      <c r="L12" s="4">
        <v>113495.057583313</v>
      </c>
      <c r="M12">
        <v>136980.79999999999</v>
      </c>
      <c r="N12">
        <v>-0.23</v>
      </c>
      <c r="O12">
        <v>19.5</v>
      </c>
    </row>
    <row r="13" spans="1:15">
      <c r="A13" s="2">
        <v>43647</v>
      </c>
      <c r="B13">
        <v>228466.01169043701</v>
      </c>
      <c r="C13" s="3">
        <f>0.14*K13+0.36*L13</f>
        <v>95886.102934783266</v>
      </c>
      <c r="D13" s="3">
        <v>288929.21741496603</v>
      </c>
      <c r="E13" s="3">
        <v>273684.424613257</v>
      </c>
      <c r="F13" s="3">
        <v>228466.01169043701</v>
      </c>
      <c r="G13" s="3">
        <v>36533.348058747899</v>
      </c>
      <c r="H13" s="3">
        <v>442055.170283065</v>
      </c>
      <c r="I13" s="3">
        <v>41245.082884919997</v>
      </c>
      <c r="J13" s="3">
        <v>400810.087398145</v>
      </c>
      <c r="K13" s="4">
        <v>395558.26771106699</v>
      </c>
      <c r="L13" s="4">
        <v>112522.070708983</v>
      </c>
      <c r="M13">
        <v>143419.6</v>
      </c>
      <c r="N13">
        <v>-0.31</v>
      </c>
      <c r="O13">
        <v>19.3</v>
      </c>
    </row>
    <row r="14" spans="1:15">
      <c r="A14" s="2">
        <v>43678</v>
      </c>
      <c r="B14">
        <v>224823.85253970401</v>
      </c>
      <c r="C14" s="3">
        <f>0.14*K14+0.36*L14</f>
        <v>94316.596913594898</v>
      </c>
      <c r="D14" s="3">
        <v>284465.06487429503</v>
      </c>
      <c r="E14" s="3">
        <v>269636.29549664998</v>
      </c>
      <c r="F14" s="3">
        <v>224823.85253970401</v>
      </c>
      <c r="G14" s="3">
        <v>37014.1253885072</v>
      </c>
      <c r="H14" s="3">
        <v>440151.80188800802</v>
      </c>
      <c r="I14" s="3">
        <v>40777.603296059999</v>
      </c>
      <c r="J14" s="3">
        <v>399374.19859194802</v>
      </c>
      <c r="K14" s="4">
        <v>400810.087398145</v>
      </c>
      <c r="L14" s="4">
        <v>106119.957438485</v>
      </c>
      <c r="M14">
        <v>146854.20000000001</v>
      </c>
      <c r="N14">
        <v>0.11</v>
      </c>
      <c r="O14">
        <v>18.5</v>
      </c>
    </row>
    <row r="15" spans="1:15">
      <c r="A15" s="2">
        <v>43709</v>
      </c>
      <c r="B15">
        <v>229522.15134281901</v>
      </c>
      <c r="C15" s="3">
        <f t="shared" ref="C15:C20" si="1">0.13*K15+0.36*L15</f>
        <v>91137.585758556917</v>
      </c>
      <c r="D15" s="3">
        <v>291909.56453621201</v>
      </c>
      <c r="E15" s="3">
        <v>276395.69351359998</v>
      </c>
      <c r="F15" s="3">
        <v>229522.15134281901</v>
      </c>
      <c r="G15" s="3">
        <v>37603.990057373798</v>
      </c>
      <c r="H15" s="3">
        <v>445374.05687674799</v>
      </c>
      <c r="I15" s="3">
        <v>41425.708399399999</v>
      </c>
      <c r="J15" s="3">
        <v>403948.34847734799</v>
      </c>
      <c r="K15" s="4">
        <v>399374.19859194802</v>
      </c>
      <c r="L15" s="4">
        <v>108941.499837788</v>
      </c>
      <c r="M15">
        <v>138337</v>
      </c>
      <c r="N15">
        <v>0.1</v>
      </c>
      <c r="O15">
        <v>18.3</v>
      </c>
    </row>
    <row r="16" spans="1:15">
      <c r="A16" s="2">
        <v>43739</v>
      </c>
      <c r="B16">
        <v>232796.136036143</v>
      </c>
      <c r="C16" s="3">
        <f t="shared" si="1"/>
        <v>91771.167289421312</v>
      </c>
      <c r="D16" s="3">
        <v>249907.858454528</v>
      </c>
      <c r="E16" s="3">
        <v>279727.53109241999</v>
      </c>
      <c r="F16" s="3">
        <v>232796.136036143</v>
      </c>
      <c r="G16" s="3">
        <v>39088.711109166397</v>
      </c>
      <c r="H16" s="3">
        <v>451152.49798369501</v>
      </c>
      <c r="I16" s="3">
        <v>41656.528956100003</v>
      </c>
      <c r="J16" s="3">
        <v>409495.96902759501</v>
      </c>
      <c r="K16" s="4">
        <v>403948.34847734799</v>
      </c>
      <c r="L16" s="4">
        <v>109049.672187128</v>
      </c>
      <c r="M16">
        <v>134512.9</v>
      </c>
      <c r="N16">
        <v>0.31</v>
      </c>
      <c r="O16">
        <v>18</v>
      </c>
    </row>
    <row r="17" spans="1:15">
      <c r="A17" s="2">
        <v>43770</v>
      </c>
      <c r="B17">
        <v>239639.13607355801</v>
      </c>
      <c r="C17" s="3">
        <f t="shared" si="1"/>
        <v>94233.77701283159</v>
      </c>
      <c r="D17" s="3">
        <v>256187.86774077799</v>
      </c>
      <c r="E17" s="3">
        <v>277083.938387673</v>
      </c>
      <c r="F17" s="3">
        <v>239639.13607355801</v>
      </c>
      <c r="G17" s="3">
        <v>42204.676983329897</v>
      </c>
      <c r="H17" s="3">
        <v>458234.324257928</v>
      </c>
      <c r="I17" s="3">
        <v>41637.162077599998</v>
      </c>
      <c r="J17" s="3">
        <v>416597.16218032798</v>
      </c>
      <c r="K17" s="4">
        <v>409495.96902759501</v>
      </c>
      <c r="L17" s="4">
        <v>113886.947331234</v>
      </c>
      <c r="M17">
        <v>136093</v>
      </c>
      <c r="N17">
        <v>0.59</v>
      </c>
      <c r="O17">
        <v>18</v>
      </c>
    </row>
    <row r="18" spans="1:15">
      <c r="A18" s="2">
        <v>43800</v>
      </c>
      <c r="B18">
        <v>229219.99829694099</v>
      </c>
      <c r="C18" s="3">
        <f t="shared" si="1"/>
        <v>97284.63462561756</v>
      </c>
      <c r="D18" s="3">
        <v>267772.34118822397</v>
      </c>
      <c r="E18" s="3">
        <v>280500.00576067797</v>
      </c>
      <c r="F18" s="3">
        <v>229219.99829694099</v>
      </c>
      <c r="G18" s="3">
        <v>35148.3907963007</v>
      </c>
      <c r="H18" s="3">
        <v>473467.360419959</v>
      </c>
      <c r="I18" s="3">
        <v>45391.008147159999</v>
      </c>
      <c r="J18" s="3">
        <v>428076.35227279901</v>
      </c>
      <c r="K18" s="4">
        <v>416597.16218032798</v>
      </c>
      <c r="L18" s="4">
        <v>119797.23206159699</v>
      </c>
      <c r="M18">
        <v>152600.79999999999</v>
      </c>
      <c r="N18">
        <v>1.28</v>
      </c>
      <c r="O18">
        <v>18</v>
      </c>
    </row>
    <row r="19" spans="1:15">
      <c r="A19" s="2">
        <v>43831</v>
      </c>
      <c r="B19">
        <v>229565.149281455</v>
      </c>
      <c r="C19" s="3">
        <f t="shared" si="1"/>
        <v>96202.508656056074</v>
      </c>
      <c r="D19" s="3">
        <v>259845.64390642499</v>
      </c>
      <c r="E19" s="3">
        <v>287528.13034860999</v>
      </c>
      <c r="F19" s="3">
        <v>229565.149281455</v>
      </c>
      <c r="G19" s="3">
        <v>35750.972154919698</v>
      </c>
      <c r="H19" s="3">
        <v>469577.98725165601</v>
      </c>
      <c r="I19" s="3">
        <v>40358.12757302</v>
      </c>
      <c r="J19" s="3">
        <v>429219.85967863601</v>
      </c>
      <c r="K19" s="4">
        <v>428076.35227279901</v>
      </c>
      <c r="L19" s="4">
        <v>112646.063501645</v>
      </c>
      <c r="M19">
        <v>158587.9</v>
      </c>
      <c r="N19">
        <v>0.63</v>
      </c>
      <c r="O19">
        <v>18</v>
      </c>
    </row>
    <row r="20" spans="1:15">
      <c r="A20" s="2">
        <v>43862</v>
      </c>
      <c r="B20">
        <v>232225.243397026</v>
      </c>
      <c r="C20" s="3">
        <f t="shared" si="1"/>
        <v>99247.000813283317</v>
      </c>
      <c r="D20" s="3">
        <v>259785.71315502399</v>
      </c>
      <c r="E20" s="3">
        <v>296288.72860204999</v>
      </c>
      <c r="F20" s="3">
        <v>232225.243397026</v>
      </c>
      <c r="G20" s="3">
        <v>37782.280377321098</v>
      </c>
      <c r="H20" s="3">
        <v>477615.508032743</v>
      </c>
      <c r="I20" s="3">
        <v>40684.272274260002</v>
      </c>
      <c r="J20" s="3">
        <v>436931.235758483</v>
      </c>
      <c r="K20" s="4">
        <v>429219.85967863601</v>
      </c>
      <c r="L20" s="4">
        <v>120690.05293072401</v>
      </c>
      <c r="M20">
        <v>151367.9</v>
      </c>
      <c r="N20">
        <v>0.36</v>
      </c>
      <c r="O20">
        <v>18</v>
      </c>
    </row>
    <row r="21" spans="1:15">
      <c r="A21" s="2">
        <v>43891</v>
      </c>
      <c r="B21">
        <v>237706.34223779099</v>
      </c>
      <c r="C21" s="3">
        <f t="shared" ref="C21:C38" si="2">0.115*K21+0.34*L21</f>
        <v>93783.608816676569</v>
      </c>
      <c r="D21" s="3">
        <v>271845.50337287597</v>
      </c>
      <c r="E21" s="3">
        <v>311586.22323717002</v>
      </c>
      <c r="F21" s="3">
        <v>237706.34223779099</v>
      </c>
      <c r="G21" s="3">
        <v>40473.542310607103</v>
      </c>
      <c r="H21" s="3">
        <v>483946.788241242</v>
      </c>
      <c r="I21" s="3">
        <v>40865.029778370001</v>
      </c>
      <c r="J21" s="3">
        <v>443081.75846287201</v>
      </c>
      <c r="K21" s="4">
        <v>436931.235758483</v>
      </c>
      <c r="L21" s="4">
        <v>128048.578542503</v>
      </c>
      <c r="M21">
        <v>143760</v>
      </c>
      <c r="N21">
        <v>0.22</v>
      </c>
      <c r="O21">
        <v>18</v>
      </c>
    </row>
    <row r="22" spans="1:15">
      <c r="A22" s="2">
        <v>43922</v>
      </c>
      <c r="B22">
        <v>241763.27766478001</v>
      </c>
      <c r="C22" s="3">
        <f t="shared" si="2"/>
        <v>95130.851949659613</v>
      </c>
      <c r="D22" s="3">
        <v>259995.18289397101</v>
      </c>
      <c r="E22" s="3">
        <v>320110.07669657498</v>
      </c>
      <c r="F22" s="3">
        <v>241763.27766478001</v>
      </c>
      <c r="G22" s="3">
        <v>42206.661334045799</v>
      </c>
      <c r="H22" s="3">
        <v>493666.357832818</v>
      </c>
      <c r="I22" s="3">
        <v>41847.404988659997</v>
      </c>
      <c r="J22" s="3">
        <v>451818.95284415799</v>
      </c>
      <c r="K22" s="4">
        <v>443081.75846287201</v>
      </c>
      <c r="L22" s="4">
        <v>129930.73448949801</v>
      </c>
      <c r="M22">
        <v>137727</v>
      </c>
      <c r="N22">
        <v>0.52</v>
      </c>
      <c r="O22">
        <v>18.399999999999999</v>
      </c>
    </row>
    <row r="23" spans="1:15">
      <c r="A23" s="2">
        <v>43952</v>
      </c>
      <c r="B23">
        <v>246804.64401611101</v>
      </c>
      <c r="C23" s="3">
        <f t="shared" si="2"/>
        <v>97217.91157972785</v>
      </c>
      <c r="D23" s="3">
        <v>266606.76680242701</v>
      </c>
      <c r="E23" s="3">
        <v>323378.85881229001</v>
      </c>
      <c r="F23" s="3">
        <v>246804.64401611101</v>
      </c>
      <c r="G23" s="3">
        <v>43648.120462725397</v>
      </c>
      <c r="H23" s="3">
        <v>502529.52121668198</v>
      </c>
      <c r="I23" s="3">
        <v>43764.35858244</v>
      </c>
      <c r="J23" s="3">
        <v>458765.16263424198</v>
      </c>
      <c r="K23" s="4">
        <v>451818.95284415799</v>
      </c>
      <c r="L23" s="4">
        <v>133113.917654852</v>
      </c>
      <c r="M23">
        <v>141517.70000000001</v>
      </c>
      <c r="N23">
        <v>-0.6</v>
      </c>
      <c r="O23">
        <v>17.899999999999999</v>
      </c>
    </row>
    <row r="24" spans="1:15">
      <c r="A24" s="2">
        <v>43983</v>
      </c>
      <c r="B24">
        <v>248830.38837246801</v>
      </c>
      <c r="C24" s="3">
        <f t="shared" si="2"/>
        <v>99156.00529840088</v>
      </c>
      <c r="D24" s="3">
        <v>267858.043593749</v>
      </c>
      <c r="E24" s="3">
        <v>315035.08789446502</v>
      </c>
      <c r="F24" s="3">
        <v>248830.38837246801</v>
      </c>
      <c r="G24" s="3">
        <v>43363.487750735701</v>
      </c>
      <c r="H24" s="3">
        <v>503465.51074692397</v>
      </c>
      <c r="I24" s="3">
        <v>44771.766293200002</v>
      </c>
      <c r="J24" s="3">
        <v>458693.74445372401</v>
      </c>
      <c r="K24" s="4">
        <v>458765.16263424198</v>
      </c>
      <c r="L24" s="4">
        <v>136464.739986656</v>
      </c>
      <c r="M24">
        <v>144194.70000000001</v>
      </c>
      <c r="N24">
        <v>-0.55000000000000004</v>
      </c>
      <c r="O24">
        <v>16.899999999999999</v>
      </c>
    </row>
    <row r="25" spans="1:15">
      <c r="A25" s="2">
        <v>44013</v>
      </c>
      <c r="B25">
        <v>252730.968509603</v>
      </c>
      <c r="C25" s="3">
        <f t="shared" si="2"/>
        <v>99333.858933471114</v>
      </c>
      <c r="D25" s="3">
        <v>286579.17029813601</v>
      </c>
      <c r="E25" s="3">
        <v>334795.36448678799</v>
      </c>
      <c r="F25" s="3">
        <v>252730.968509603</v>
      </c>
      <c r="G25" s="3">
        <v>45440.054385743999</v>
      </c>
      <c r="H25" s="3">
        <v>512271.227875816</v>
      </c>
      <c r="I25" s="3">
        <v>48101.496962700003</v>
      </c>
      <c r="J25" s="3">
        <v>464169.73091311601</v>
      </c>
      <c r="K25" s="4">
        <v>458693.74445372401</v>
      </c>
      <c r="L25" s="4">
        <v>137011.995062626</v>
      </c>
      <c r="M25">
        <v>145789</v>
      </c>
      <c r="N25">
        <v>-0.2</v>
      </c>
      <c r="O25">
        <v>16.7</v>
      </c>
    </row>
    <row r="26" spans="1:15">
      <c r="A26" s="2">
        <v>44044</v>
      </c>
      <c r="B26">
        <v>259923.68061612899</v>
      </c>
      <c r="C26" s="3">
        <f t="shared" si="2"/>
        <v>99657.081453573599</v>
      </c>
      <c r="D26" s="3">
        <v>300468.65151339298</v>
      </c>
      <c r="E26" s="3">
        <v>335012.93013169302</v>
      </c>
      <c r="F26" s="3">
        <v>259923.68061612899</v>
      </c>
      <c r="G26" s="3">
        <v>46722.973052599104</v>
      </c>
      <c r="H26" s="3">
        <v>523012.37054271501</v>
      </c>
      <c r="I26" s="3">
        <v>47314.427461949999</v>
      </c>
      <c r="J26" s="3">
        <v>475697.94308076502</v>
      </c>
      <c r="K26" s="4">
        <v>464169.73091311601</v>
      </c>
      <c r="L26" s="4">
        <v>136110.47764283899</v>
      </c>
      <c r="M26">
        <v>143641.20000000001</v>
      </c>
      <c r="N26">
        <v>0.06</v>
      </c>
      <c r="O26">
        <v>15.9</v>
      </c>
    </row>
    <row r="27" spans="1:15">
      <c r="A27" s="2">
        <v>44075</v>
      </c>
      <c r="B27">
        <v>262555.61289693502</v>
      </c>
      <c r="C27" s="3">
        <f t="shared" si="2"/>
        <v>101025.14108218293</v>
      </c>
      <c r="D27" s="3">
        <v>307465.18123655301</v>
      </c>
      <c r="E27" s="3">
        <v>318553.63354837999</v>
      </c>
      <c r="F27" s="3">
        <v>262555.61289693502</v>
      </c>
      <c r="G27" s="3">
        <v>47850.518772082803</v>
      </c>
      <c r="H27" s="3">
        <v>528170.31644756603</v>
      </c>
      <c r="I27" s="3">
        <v>46346.71091329</v>
      </c>
      <c r="J27" s="3">
        <v>481823.60553427599</v>
      </c>
      <c r="K27" s="4">
        <v>475697.94308076502</v>
      </c>
      <c r="L27" s="4">
        <v>136234.93419969099</v>
      </c>
      <c r="M27">
        <v>164153.20000000001</v>
      </c>
      <c r="N27">
        <v>0.32</v>
      </c>
      <c r="O27">
        <v>15.9</v>
      </c>
    </row>
    <row r="28" spans="1:15">
      <c r="A28" s="2">
        <v>44105</v>
      </c>
      <c r="B28">
        <v>263381.64788896497</v>
      </c>
      <c r="C28" s="3">
        <f t="shared" si="2"/>
        <v>102629.99579556831</v>
      </c>
      <c r="D28" s="3">
        <v>315367.57970837801</v>
      </c>
      <c r="E28" s="3">
        <v>337995.91819796001</v>
      </c>
      <c r="F28" s="3">
        <v>263381.64788896497</v>
      </c>
      <c r="G28" s="3">
        <v>49021.494825781898</v>
      </c>
      <c r="H28" s="3">
        <v>541193.84043442796</v>
      </c>
      <c r="I28" s="3">
        <v>46548.897986960001</v>
      </c>
      <c r="J28" s="3">
        <v>494644.942447468</v>
      </c>
      <c r="K28" s="4">
        <v>481823.60553427599</v>
      </c>
      <c r="L28" s="4">
        <v>138883.179879784</v>
      </c>
      <c r="M28">
        <v>164268.45000000001</v>
      </c>
      <c r="N28">
        <v>0.53</v>
      </c>
      <c r="O28">
        <v>15.9</v>
      </c>
    </row>
    <row r="29" spans="1:15">
      <c r="A29" s="2">
        <v>44136</v>
      </c>
      <c r="B29">
        <v>265441.81922813703</v>
      </c>
      <c r="C29" s="3">
        <f t="shared" si="2"/>
        <v>105630.59506931501</v>
      </c>
      <c r="D29" s="3">
        <v>325501.18404559098</v>
      </c>
      <c r="E29" s="3">
        <v>346579.13079417299</v>
      </c>
      <c r="F29" s="3">
        <v>265441.81922813703</v>
      </c>
      <c r="G29" s="3">
        <v>50148.846324881997</v>
      </c>
      <c r="H29" s="3">
        <v>551239.80705689604</v>
      </c>
      <c r="I29" s="3">
        <v>47807.38291</v>
      </c>
      <c r="J29" s="3">
        <v>503432.424146896</v>
      </c>
      <c r="K29" s="4">
        <v>494644.942447468</v>
      </c>
      <c r="L29" s="4">
        <v>143371.84319957701</v>
      </c>
      <c r="M29">
        <v>164383.69</v>
      </c>
      <c r="N29">
        <v>0.66</v>
      </c>
      <c r="O29">
        <v>15.9</v>
      </c>
    </row>
    <row r="30" spans="1:15">
      <c r="A30" s="2">
        <v>44166</v>
      </c>
      <c r="B30">
        <v>259455.11153265199</v>
      </c>
      <c r="C30" s="3">
        <f t="shared" si="2"/>
        <v>108011.33939891316</v>
      </c>
      <c r="D30" s="3">
        <v>319703.559955334</v>
      </c>
      <c r="E30" s="3">
        <v>339904.87536149099</v>
      </c>
      <c r="F30" s="3">
        <v>259455.11153265199</v>
      </c>
      <c r="G30" s="3">
        <v>45185.348842565603</v>
      </c>
      <c r="H30" s="3">
        <v>583679.32117354102</v>
      </c>
      <c r="I30" s="3">
        <v>52707.467385245996</v>
      </c>
      <c r="J30" s="3">
        <v>530971.85378829495</v>
      </c>
      <c r="K30" s="4">
        <v>503432.424146896</v>
      </c>
      <c r="L30" s="4">
        <v>147401.79594711799</v>
      </c>
      <c r="M30">
        <v>164498.94</v>
      </c>
      <c r="N30">
        <v>1.52</v>
      </c>
      <c r="O30">
        <v>15.9</v>
      </c>
    </row>
    <row r="31" spans="1:15">
      <c r="A31" s="2">
        <v>44197</v>
      </c>
      <c r="B31">
        <v>257398.28757415499</v>
      </c>
      <c r="C31" s="3">
        <f t="shared" si="2"/>
        <v>114612.83089564121</v>
      </c>
      <c r="D31" s="3">
        <v>319570.59904127597</v>
      </c>
      <c r="E31" s="3">
        <v>356572.18481762602</v>
      </c>
      <c r="F31" s="3">
        <v>257398.28757415499</v>
      </c>
      <c r="G31" s="3">
        <v>45392.241254355198</v>
      </c>
      <c r="H31" s="3">
        <v>576704.65967174701</v>
      </c>
      <c r="I31" s="3">
        <v>49306.276602366001</v>
      </c>
      <c r="J31" s="3">
        <v>527398.383069381</v>
      </c>
      <c r="K31" s="4">
        <v>530971.85378829495</v>
      </c>
      <c r="L31" s="4">
        <v>157503.140323492</v>
      </c>
      <c r="M31">
        <v>164614.18</v>
      </c>
      <c r="N31">
        <v>1.41</v>
      </c>
      <c r="O31">
        <v>15.5</v>
      </c>
    </row>
    <row r="32" spans="1:15">
      <c r="A32" s="2">
        <v>44228</v>
      </c>
      <c r="B32">
        <v>259266.55684250299</v>
      </c>
      <c r="C32" s="3">
        <f t="shared" si="2"/>
        <v>112734.19488102743</v>
      </c>
      <c r="D32" s="3">
        <v>315130.398168049</v>
      </c>
      <c r="E32" s="3">
        <v>339672.496368878</v>
      </c>
      <c r="F32" s="3">
        <v>259266.55684250299</v>
      </c>
      <c r="G32" s="3">
        <v>45013.594826478999</v>
      </c>
      <c r="H32" s="3">
        <v>573156.50922823895</v>
      </c>
      <c r="I32" s="3">
        <v>47716.059677755999</v>
      </c>
      <c r="J32" s="3">
        <v>525440.44955048303</v>
      </c>
      <c r="K32" s="4">
        <v>527398.383069381</v>
      </c>
      <c r="L32" s="4">
        <v>153186.41420014299</v>
      </c>
      <c r="M32">
        <v>164729.43</v>
      </c>
      <c r="N32">
        <v>1.6</v>
      </c>
      <c r="O32">
        <v>15.5</v>
      </c>
    </row>
    <row r="33" spans="1:15">
      <c r="A33" s="2">
        <v>44256</v>
      </c>
      <c r="B33">
        <v>256546.451019692</v>
      </c>
      <c r="C33" s="3">
        <f t="shared" si="2"/>
        <v>114522.23487995582</v>
      </c>
      <c r="D33" s="3">
        <v>315051.42459146801</v>
      </c>
      <c r="E33" s="3">
        <v>337245.76097781601</v>
      </c>
      <c r="F33" s="3">
        <v>256546.451019692</v>
      </c>
      <c r="G33" s="3">
        <v>41573.928233335602</v>
      </c>
      <c r="H33" s="3">
        <v>563847.30305828503</v>
      </c>
      <c r="I33" s="3">
        <v>49174.973791506003</v>
      </c>
      <c r="J33" s="3">
        <v>514672.32926677901</v>
      </c>
      <c r="K33" s="4">
        <v>525440.44955048303</v>
      </c>
      <c r="L33" s="4">
        <v>159107.59759308901</v>
      </c>
      <c r="M33">
        <v>164844.67000000001</v>
      </c>
      <c r="N33">
        <v>0.83</v>
      </c>
      <c r="O33">
        <v>17.8</v>
      </c>
    </row>
    <row r="34" spans="1:15">
      <c r="A34" s="2">
        <v>44287</v>
      </c>
      <c r="B34">
        <v>252690.83662301299</v>
      </c>
      <c r="C34" s="3">
        <f t="shared" si="2"/>
        <v>106465.8379255824</v>
      </c>
      <c r="D34" s="3">
        <v>323051.22825737402</v>
      </c>
      <c r="E34" s="3">
        <v>344226.72236835299</v>
      </c>
      <c r="F34" s="3">
        <v>252690.83662301299</v>
      </c>
      <c r="G34" s="3">
        <v>34209.907041132501</v>
      </c>
      <c r="H34" s="3">
        <v>549137.96646804595</v>
      </c>
      <c r="I34" s="3">
        <v>50416.136637625998</v>
      </c>
      <c r="J34" s="3">
        <v>498721.82983042003</v>
      </c>
      <c r="K34" s="4">
        <v>514672.32926677901</v>
      </c>
      <c r="L34" s="4">
        <v>139054.47076442</v>
      </c>
      <c r="M34">
        <v>164959.92000000001</v>
      </c>
      <c r="N34">
        <v>-0.25</v>
      </c>
      <c r="O34">
        <v>18.899999999999999</v>
      </c>
    </row>
    <row r="35" spans="1:15">
      <c r="A35" s="2">
        <v>44317</v>
      </c>
      <c r="B35">
        <v>262243.30019522202</v>
      </c>
      <c r="C35" s="3">
        <f t="shared" si="2"/>
        <v>97229.584323590534</v>
      </c>
      <c r="D35" s="3">
        <v>333998.43042729498</v>
      </c>
      <c r="E35" s="3">
        <v>325641.95156509301</v>
      </c>
      <c r="F35" s="3">
        <v>262243.30019522202</v>
      </c>
      <c r="G35" s="3">
        <v>37355.719595144597</v>
      </c>
      <c r="H35" s="3">
        <v>557818.24112299294</v>
      </c>
      <c r="I35" s="3">
        <v>51382.242740462803</v>
      </c>
      <c r="J35" s="3">
        <v>506435.99838253</v>
      </c>
      <c r="K35" s="4">
        <v>498721.82983042003</v>
      </c>
      <c r="L35" s="4">
        <v>117284.040862036</v>
      </c>
      <c r="M35">
        <v>165075.16</v>
      </c>
      <c r="N35">
        <v>-0.69</v>
      </c>
      <c r="O35">
        <v>18.899999999999999</v>
      </c>
    </row>
    <row r="36" spans="1:15">
      <c r="A36" s="2">
        <v>44348</v>
      </c>
      <c r="B36">
        <v>271892.31790316198</v>
      </c>
      <c r="C36" s="3">
        <f t="shared" si="2"/>
        <v>100652.85347536855</v>
      </c>
      <c r="D36" s="3">
        <v>347285.10707900702</v>
      </c>
      <c r="E36" s="3">
        <v>332824.71199525701</v>
      </c>
      <c r="F36" s="3">
        <v>271892.31790316198</v>
      </c>
      <c r="G36" s="3">
        <v>39497.927203051499</v>
      </c>
      <c r="H36" s="3">
        <v>577094.03563577996</v>
      </c>
      <c r="I36" s="3">
        <v>53679.905488821001</v>
      </c>
      <c r="J36" s="3">
        <v>523414.13014695898</v>
      </c>
      <c r="K36" s="4">
        <v>506435.99838253</v>
      </c>
      <c r="L36" s="4">
        <v>124743.27547464</v>
      </c>
      <c r="M36">
        <v>165190.41</v>
      </c>
      <c r="N36">
        <v>-0.54</v>
      </c>
      <c r="O36">
        <v>18.899999999999999</v>
      </c>
    </row>
    <row r="37" spans="1:15">
      <c r="A37" s="2">
        <v>44378</v>
      </c>
      <c r="B37">
        <v>269741.70728024899</v>
      </c>
      <c r="C37" s="3">
        <f t="shared" si="2"/>
        <v>107068.98388954517</v>
      </c>
      <c r="D37" s="3">
        <v>354841.18907348003</v>
      </c>
      <c r="E37" s="3">
        <v>323576.88469881599</v>
      </c>
      <c r="F37" s="3">
        <v>269741.70728024899</v>
      </c>
      <c r="G37" s="3">
        <v>39443.593464954101</v>
      </c>
      <c r="H37" s="3">
        <v>581466.25405006704</v>
      </c>
      <c r="I37" s="3">
        <v>54490.069230749999</v>
      </c>
      <c r="J37" s="3">
        <v>526976.18481931696</v>
      </c>
      <c r="K37" s="4">
        <v>523414.13014695898</v>
      </c>
      <c r="L37" s="4">
        <v>137871.64389013199</v>
      </c>
      <c r="M37">
        <v>165305.65</v>
      </c>
      <c r="N37">
        <v>-0.36</v>
      </c>
      <c r="O37">
        <v>18.899999999999999</v>
      </c>
    </row>
    <row r="38" spans="1:15">
      <c r="A38" s="2">
        <v>44409</v>
      </c>
      <c r="B38">
        <v>271321.57019653002</v>
      </c>
      <c r="C38" s="3">
        <f t="shared" si="2"/>
        <v>108528.75796974324</v>
      </c>
      <c r="D38" s="3">
        <v>354840.89723509998</v>
      </c>
      <c r="E38" s="3">
        <v>331540.641903696</v>
      </c>
      <c r="F38" s="3">
        <v>271321.57019653002</v>
      </c>
      <c r="G38" s="3">
        <v>41319.984364567201</v>
      </c>
      <c r="H38" s="3">
        <v>576215.73560974596</v>
      </c>
      <c r="I38" s="3">
        <v>55097.201820210001</v>
      </c>
      <c r="J38" s="3">
        <v>521118.53378953598</v>
      </c>
      <c r="K38" s="4">
        <v>526976.18481931696</v>
      </c>
      <c r="L38" s="4">
        <v>140960.284457417</v>
      </c>
      <c r="M38">
        <v>165420.9</v>
      </c>
      <c r="N38">
        <v>0.37</v>
      </c>
      <c r="O38">
        <v>18.899999999999999</v>
      </c>
    </row>
    <row r="39" spans="1:15">
      <c r="A39" s="2">
        <v>44440</v>
      </c>
      <c r="B39">
        <v>270833.344577807</v>
      </c>
      <c r="C39" s="3">
        <f t="shared" ref="C39:C54" si="3">0.105*K39+0.115*L39</f>
        <v>70320.359654453467</v>
      </c>
      <c r="D39" s="3">
        <v>354347.329945556</v>
      </c>
      <c r="E39" s="3">
        <v>341431.99042952701</v>
      </c>
      <c r="F39" s="3">
        <v>270833.344577807</v>
      </c>
      <c r="G39" s="3">
        <v>42474.900858541099</v>
      </c>
      <c r="H39" s="3">
        <v>570464.99223166006</v>
      </c>
      <c r="I39" s="3">
        <v>54061.789761970002</v>
      </c>
      <c r="J39" s="3">
        <v>516403.20246969</v>
      </c>
      <c r="K39" s="4">
        <v>521118.53378953598</v>
      </c>
      <c r="L39" s="4">
        <v>135677.509622193</v>
      </c>
      <c r="M39">
        <v>155275.70000000001</v>
      </c>
      <c r="N39">
        <v>0.85</v>
      </c>
      <c r="O39">
        <v>18.899999999999999</v>
      </c>
    </row>
    <row r="40" spans="1:15">
      <c r="A40" s="2">
        <v>44470</v>
      </c>
      <c r="B40">
        <v>263522.526849102</v>
      </c>
      <c r="C40" s="3">
        <f t="shared" si="3"/>
        <v>69836.228418310988</v>
      </c>
      <c r="D40" s="3">
        <v>353773.757101806</v>
      </c>
      <c r="E40" s="3">
        <v>353202.02067741001</v>
      </c>
      <c r="F40" s="3">
        <v>263522.526849102</v>
      </c>
      <c r="G40" s="3">
        <v>44005.623989218599</v>
      </c>
      <c r="H40" s="3">
        <v>579827.50374574203</v>
      </c>
      <c r="I40" s="3">
        <v>54067.300926005999</v>
      </c>
      <c r="J40" s="3">
        <v>525760.20281973598</v>
      </c>
      <c r="K40" s="4">
        <v>516403.20246969</v>
      </c>
      <c r="L40" s="4">
        <v>135772.975295596</v>
      </c>
      <c r="M40">
        <v>127309.8</v>
      </c>
      <c r="N40">
        <v>0.98</v>
      </c>
      <c r="O40">
        <v>18.600000000000001</v>
      </c>
    </row>
    <row r="41" spans="1:15">
      <c r="A41" s="2">
        <v>44501</v>
      </c>
      <c r="B41">
        <v>273162.249740406</v>
      </c>
      <c r="C41" s="3">
        <f t="shared" si="3"/>
        <v>72217.751150081342</v>
      </c>
      <c r="D41" s="3">
        <v>362752.48008041002</v>
      </c>
      <c r="E41" s="3">
        <v>375801.80999749003</v>
      </c>
      <c r="F41" s="3">
        <v>273162.249740406</v>
      </c>
      <c r="G41" s="3">
        <v>42581.5088771886</v>
      </c>
      <c r="H41" s="3">
        <v>569509.58240513003</v>
      </c>
      <c r="I41" s="3">
        <v>54944.72830463</v>
      </c>
      <c r="J41" s="3">
        <v>514564.8541005</v>
      </c>
      <c r="K41" s="5">
        <v>525760.20281973598</v>
      </c>
      <c r="L41" s="5">
        <v>147938.52046964399</v>
      </c>
      <c r="M41">
        <v>127997.9</v>
      </c>
      <c r="N41">
        <v>1.1000000000000001</v>
      </c>
      <c r="O41">
        <v>18.600000000000001</v>
      </c>
    </row>
    <row r="42" spans="1:15">
      <c r="A42" s="2">
        <v>44531</v>
      </c>
      <c r="B42">
        <v>272648.94272878102</v>
      </c>
      <c r="C42" s="3">
        <f t="shared" si="3"/>
        <v>69663.656990343996</v>
      </c>
      <c r="D42" s="3">
        <v>374968.372424773</v>
      </c>
      <c r="E42" s="3">
        <v>362996.25340744702</v>
      </c>
      <c r="F42" s="3">
        <v>272648.94272878102</v>
      </c>
      <c r="G42" s="3">
        <v>41154.514963782298</v>
      </c>
      <c r="H42" s="3">
        <v>594647.51248790196</v>
      </c>
      <c r="I42" s="3">
        <v>56381.209828040002</v>
      </c>
      <c r="J42" s="3">
        <v>538266.30265986198</v>
      </c>
      <c r="K42" s="5">
        <v>514564.8541005</v>
      </c>
      <c r="L42" s="5">
        <v>135950.84617209999</v>
      </c>
      <c r="M42">
        <v>142481.29999999999</v>
      </c>
      <c r="N42">
        <v>1.67</v>
      </c>
      <c r="O42">
        <v>18.600000000000001</v>
      </c>
    </row>
    <row r="43" spans="1:15">
      <c r="A43" s="2">
        <v>44562</v>
      </c>
      <c r="B43">
        <v>268668.87831468298</v>
      </c>
      <c r="C43" s="3">
        <f t="shared" si="3"/>
        <v>73123.139821692443</v>
      </c>
      <c r="D43" s="3">
        <v>382309.36793300498</v>
      </c>
      <c r="E43" s="3">
        <v>340953.87975171598</v>
      </c>
      <c r="F43" s="3">
        <v>268668.87831468298</v>
      </c>
      <c r="G43" s="3">
        <v>40276.907540429798</v>
      </c>
      <c r="H43" s="3">
        <v>593014.81411452102</v>
      </c>
      <c r="I43" s="3">
        <v>51792.019807539997</v>
      </c>
      <c r="J43" s="3">
        <v>541222.79430698103</v>
      </c>
      <c r="K43" s="5">
        <v>538266.30265986198</v>
      </c>
      <c r="L43" s="5">
        <v>144392.85254266899</v>
      </c>
      <c r="M43">
        <v>136516.70000000001</v>
      </c>
      <c r="N43">
        <v>2.0099999999999998</v>
      </c>
      <c r="O43">
        <v>18.600000000000001</v>
      </c>
    </row>
    <row r="44" spans="1:15">
      <c r="A44" s="2">
        <v>44593</v>
      </c>
      <c r="B44">
        <v>269862.80605971202</v>
      </c>
      <c r="C44" s="3">
        <f t="shared" si="3"/>
        <v>74077.558989117824</v>
      </c>
      <c r="D44" s="3">
        <v>388062.66446899099</v>
      </c>
      <c r="E44" s="3">
        <v>382641.30357507803</v>
      </c>
      <c r="F44" s="3">
        <v>269862.80605971202</v>
      </c>
      <c r="G44" s="3">
        <v>40908.911385230902</v>
      </c>
      <c r="H44" s="3">
        <v>599819.66786929197</v>
      </c>
      <c r="I44" s="3">
        <v>49119.546941929999</v>
      </c>
      <c r="J44" s="3">
        <v>550700.120927362</v>
      </c>
      <c r="K44" s="5">
        <v>541222.79430698103</v>
      </c>
      <c r="L44" s="5">
        <v>149992.74423378101</v>
      </c>
      <c r="M44">
        <v>130633.2</v>
      </c>
      <c r="N44">
        <v>0.5</v>
      </c>
      <c r="O44">
        <v>18.600000000000001</v>
      </c>
    </row>
    <row r="45" spans="1:15">
      <c r="A45" s="2">
        <v>44621</v>
      </c>
      <c r="B45">
        <v>268915.30006349803</v>
      </c>
      <c r="C45" s="3">
        <f t="shared" si="3"/>
        <v>76429.529254843452</v>
      </c>
      <c r="D45" s="3">
        <v>389813.546373508</v>
      </c>
      <c r="E45" s="3">
        <v>392319.00743295602</v>
      </c>
      <c r="F45" s="3">
        <v>268915.30006349803</v>
      </c>
      <c r="G45" s="3">
        <v>40861.268555668998</v>
      </c>
      <c r="H45" s="3">
        <v>606432.58662982704</v>
      </c>
      <c r="I45" s="3">
        <v>50221.681650519997</v>
      </c>
      <c r="J45" s="3">
        <v>556210.90497930697</v>
      </c>
      <c r="K45" s="5">
        <v>550700.120927362</v>
      </c>
      <c r="L45" s="5">
        <v>161791.44832582999</v>
      </c>
      <c r="M45">
        <v>123397.3</v>
      </c>
      <c r="N45">
        <v>0.86</v>
      </c>
      <c r="O45">
        <v>18.600000000000001</v>
      </c>
    </row>
    <row r="46" spans="1:15">
      <c r="A46" s="2">
        <v>44652</v>
      </c>
      <c r="B46">
        <v>269667.24339259299</v>
      </c>
      <c r="C46" s="3">
        <f t="shared" si="3"/>
        <v>76064.425324772164</v>
      </c>
      <c r="D46" s="3">
        <v>397046.735500223</v>
      </c>
      <c r="E46" s="3">
        <v>394530.282527673</v>
      </c>
      <c r="F46" s="3">
        <v>269667.24339259299</v>
      </c>
      <c r="G46" s="3">
        <v>41601.869662172401</v>
      </c>
      <c r="H46" s="3">
        <v>608715.59595638001</v>
      </c>
      <c r="I46" s="3">
        <v>50769.019206520003</v>
      </c>
      <c r="J46" s="3">
        <v>557946.57674985996</v>
      </c>
      <c r="K46" s="5">
        <v>556210.90497930697</v>
      </c>
      <c r="L46" s="5">
        <v>153585.04610386901</v>
      </c>
      <c r="M46">
        <v>126556.3</v>
      </c>
      <c r="N46">
        <v>1.36</v>
      </c>
      <c r="O46">
        <v>18.600000000000001</v>
      </c>
    </row>
    <row r="47" spans="1:15">
      <c r="A47" s="2">
        <v>44682</v>
      </c>
      <c r="B47">
        <v>276589.03955858998</v>
      </c>
      <c r="C47" s="3">
        <f t="shared" si="3"/>
        <v>76389.738852079114</v>
      </c>
      <c r="D47" s="3">
        <v>396658.21437392803</v>
      </c>
      <c r="E47" s="3">
        <v>389061.123700011</v>
      </c>
      <c r="F47" s="3">
        <v>276589.03955858998</v>
      </c>
      <c r="G47" s="3">
        <v>41988.539632801701</v>
      </c>
      <c r="H47" s="3">
        <v>615546.30636501999</v>
      </c>
      <c r="I47" s="3">
        <v>52984.828413219999</v>
      </c>
      <c r="J47" s="3">
        <v>562561.47795179999</v>
      </c>
      <c r="K47" s="5">
        <v>557946.57674985996</v>
      </c>
      <c r="L47" s="5">
        <v>154829.11559429401</v>
      </c>
      <c r="M47">
        <v>126862.3</v>
      </c>
      <c r="N47">
        <v>0.87</v>
      </c>
      <c r="O47">
        <v>19.100000000000001</v>
      </c>
    </row>
    <row r="48" spans="1:15">
      <c r="A48" s="2">
        <v>44713</v>
      </c>
      <c r="B48">
        <v>275843.58091376501</v>
      </c>
      <c r="C48" s="3">
        <f t="shared" si="3"/>
        <v>77718.283667026204</v>
      </c>
      <c r="D48" s="3">
        <v>397129.707394636</v>
      </c>
      <c r="E48" s="3">
        <v>394592.96410312701</v>
      </c>
      <c r="F48" s="3">
        <v>275843.58091376501</v>
      </c>
      <c r="G48" s="3">
        <v>42053.088774246899</v>
      </c>
      <c r="H48" s="3">
        <v>617104.86430652603</v>
      </c>
      <c r="I48" s="3">
        <v>55138.341810159996</v>
      </c>
      <c r="J48" s="3">
        <v>561966.52249636594</v>
      </c>
      <c r="K48" s="5">
        <v>562561.47795179999</v>
      </c>
      <c r="L48" s="5">
        <v>162168.07375728001</v>
      </c>
      <c r="M48">
        <v>127558.9</v>
      </c>
      <c r="N48">
        <v>0.74</v>
      </c>
      <c r="O48">
        <v>20.6</v>
      </c>
    </row>
    <row r="49" spans="1:15">
      <c r="A49" s="2">
        <v>44743</v>
      </c>
      <c r="B49">
        <v>277458.17541436502</v>
      </c>
      <c r="C49" s="3">
        <f t="shared" si="3"/>
        <v>76372.064050426357</v>
      </c>
      <c r="D49" s="3">
        <v>403271.89777990797</v>
      </c>
      <c r="E49" s="3">
        <v>395884.78230485599</v>
      </c>
      <c r="F49" s="3">
        <v>277458.17541436502</v>
      </c>
      <c r="G49" s="3">
        <v>39956.375332452801</v>
      </c>
      <c r="H49" s="3">
        <v>609732.84006442002</v>
      </c>
      <c r="I49" s="3">
        <v>55467.580236380003</v>
      </c>
      <c r="J49" s="3">
        <v>554265.25982804003</v>
      </c>
      <c r="K49" s="5">
        <v>561966.52249636594</v>
      </c>
      <c r="L49" s="5">
        <v>151005.03642006899</v>
      </c>
      <c r="M49">
        <v>133677.20000000001</v>
      </c>
      <c r="N49">
        <v>0.74</v>
      </c>
      <c r="O49">
        <v>20.6</v>
      </c>
    </row>
    <row r="50" spans="1:15">
      <c r="A50" s="2">
        <v>44774</v>
      </c>
      <c r="B50">
        <v>280099.36277012998</v>
      </c>
      <c r="C50" s="3">
        <f t="shared" si="3"/>
        <v>75442.612961962353</v>
      </c>
      <c r="D50" s="3">
        <v>408499.39845069702</v>
      </c>
      <c r="E50" s="3">
        <v>394183.64946089801</v>
      </c>
      <c r="F50" s="3">
        <v>280099.36277012998</v>
      </c>
      <c r="G50" s="3">
        <v>40130.521080222003</v>
      </c>
      <c r="H50" s="3">
        <v>614278.267120037</v>
      </c>
      <c r="I50" s="3">
        <v>56119.910371990001</v>
      </c>
      <c r="J50" s="3">
        <v>558158.35674804705</v>
      </c>
      <c r="K50" s="5">
        <v>554265.25982804003</v>
      </c>
      <c r="L50" s="5">
        <v>149954.44069580999</v>
      </c>
      <c r="M50">
        <v>136660.79999999999</v>
      </c>
      <c r="N50">
        <v>0.59</v>
      </c>
      <c r="O50">
        <v>20.6</v>
      </c>
    </row>
    <row r="51" spans="1:15">
      <c r="A51" s="2">
        <v>44805</v>
      </c>
      <c r="B51">
        <v>288186.47113516502</v>
      </c>
      <c r="C51" s="3">
        <f t="shared" si="3"/>
        <v>75733.72935176325</v>
      </c>
      <c r="D51" s="3">
        <v>404267.16313727002</v>
      </c>
      <c r="E51" s="3">
        <v>391741.19469465298</v>
      </c>
      <c r="F51" s="3">
        <v>288186.47113516502</v>
      </c>
      <c r="G51" s="3">
        <v>44575.528902980797</v>
      </c>
      <c r="H51" s="3">
        <v>603244.03158123698</v>
      </c>
      <c r="I51" s="3">
        <v>55195.808585550003</v>
      </c>
      <c r="J51" s="3">
        <v>548048.22299568704</v>
      </c>
      <c r="K51" s="5">
        <v>558158.35674804705</v>
      </c>
      <c r="L51" s="5">
        <v>148931.32081059401</v>
      </c>
      <c r="M51">
        <v>129543.2</v>
      </c>
      <c r="N51">
        <v>0.62</v>
      </c>
      <c r="O51">
        <v>20.6</v>
      </c>
    </row>
    <row r="52" spans="1:15">
      <c r="A52" s="2">
        <v>44835</v>
      </c>
      <c r="B52">
        <v>286696.67605275899</v>
      </c>
      <c r="C52" s="3">
        <f t="shared" si="3"/>
        <v>74047.393921864175</v>
      </c>
      <c r="D52" s="3">
        <v>393702.62507531903</v>
      </c>
      <c r="E52" s="3">
        <v>382078.58794657403</v>
      </c>
      <c r="F52" s="3">
        <v>286696.67605275899</v>
      </c>
      <c r="G52" s="3">
        <v>44113.809619850297</v>
      </c>
      <c r="H52" s="3">
        <v>606768.83120643301</v>
      </c>
      <c r="I52" s="3">
        <v>52534.222940489999</v>
      </c>
      <c r="J52" s="3">
        <v>554234.60826594301</v>
      </c>
      <c r="K52" s="5">
        <v>548048.22299568704</v>
      </c>
      <c r="L52" s="5">
        <v>143498.526150583</v>
      </c>
      <c r="M52">
        <v>137072.1</v>
      </c>
      <c r="N52">
        <v>0.19</v>
      </c>
      <c r="O52">
        <v>22.5</v>
      </c>
    </row>
    <row r="53" spans="1:15">
      <c r="A53" s="2">
        <v>44866</v>
      </c>
      <c r="B53">
        <v>289397.90865940199</v>
      </c>
      <c r="C53" s="3">
        <f t="shared" si="3"/>
        <v>74823.082260995739</v>
      </c>
      <c r="D53" s="3">
        <v>385745.970801196</v>
      </c>
      <c r="E53" s="3">
        <v>400133.25181381701</v>
      </c>
      <c r="F53" s="3">
        <v>289397.90865940199</v>
      </c>
      <c r="G53" s="3">
        <v>45204.933399882197</v>
      </c>
      <c r="H53" s="3">
        <v>600641.26723846095</v>
      </c>
      <c r="I53" s="3">
        <v>52857.441168580001</v>
      </c>
      <c r="J53" s="3">
        <v>547783.82606988098</v>
      </c>
      <c r="K53" s="5">
        <v>554234.60826594301</v>
      </c>
      <c r="L53" s="5">
        <v>144595.20341801501</v>
      </c>
      <c r="M53">
        <v>124025</v>
      </c>
      <c r="N53">
        <v>0.57999999999999996</v>
      </c>
      <c r="O53">
        <v>22.6</v>
      </c>
    </row>
    <row r="54" spans="1:15">
      <c r="A54" s="2">
        <v>44896</v>
      </c>
      <c r="B54">
        <v>283527.62965645897</v>
      </c>
      <c r="C54" s="3">
        <f t="shared" si="3"/>
        <v>74269.444986305811</v>
      </c>
      <c r="D54" s="3">
        <v>421086.13035458798</v>
      </c>
      <c r="E54" s="3">
        <v>428131.426117544</v>
      </c>
      <c r="F54" s="3">
        <v>283527.62965645897</v>
      </c>
      <c r="G54" s="3">
        <v>45472.9444667153</v>
      </c>
      <c r="H54" s="3">
        <v>646596.407116535</v>
      </c>
      <c r="I54" s="3">
        <v>63347.2303268826</v>
      </c>
      <c r="J54" s="3">
        <v>583249.17678965197</v>
      </c>
      <c r="K54" s="5">
        <v>547783.82606988098</v>
      </c>
      <c r="L54" s="5">
        <v>145670.81086059401</v>
      </c>
      <c r="M54">
        <v>143395.9</v>
      </c>
      <c r="N54">
        <v>1.35</v>
      </c>
      <c r="O54">
        <v>22.6</v>
      </c>
    </row>
    <row r="55" spans="1:15">
      <c r="A55" s="2">
        <v>44927</v>
      </c>
      <c r="B55">
        <v>283460.11998534598</v>
      </c>
      <c r="C55" s="3">
        <f>0.28*K55+0.285*L55</f>
        <v>204936.60730549699</v>
      </c>
      <c r="D55" s="3">
        <v>425756.43243543798</v>
      </c>
      <c r="E55" s="3">
        <v>439966.92676932999</v>
      </c>
      <c r="F55" s="3">
        <v>283460.11998534598</v>
      </c>
      <c r="G55" s="3">
        <v>44493.697721078803</v>
      </c>
      <c r="H55" s="3">
        <v>641240.322667339</v>
      </c>
      <c r="I55" s="3">
        <v>57269.142495009997</v>
      </c>
      <c r="J55" s="3">
        <v>583971.18017232895</v>
      </c>
      <c r="K55" s="5">
        <v>583249.17678965197</v>
      </c>
      <c r="L55" s="5">
        <v>146059.08001541899</v>
      </c>
      <c r="M55">
        <v>139737.20000000001</v>
      </c>
      <c r="N55">
        <v>1.02</v>
      </c>
      <c r="O55">
        <v>22.6</v>
      </c>
    </row>
    <row r="56" spans="1:15">
      <c r="A56" s="2">
        <v>44958</v>
      </c>
      <c r="B56">
        <v>286551.48150269501</v>
      </c>
      <c r="C56" s="3">
        <f>0.28*K56+0.285*L56</f>
        <v>207184.23053003396</v>
      </c>
      <c r="D56" s="3">
        <v>439393.99312884198</v>
      </c>
      <c r="E56" s="3">
        <v>355472.29264080699</v>
      </c>
      <c r="F56" s="3">
        <v>286551.48150269501</v>
      </c>
      <c r="G56" s="3">
        <v>46533.734604089703</v>
      </c>
      <c r="H56" s="3">
        <v>640569.77624137595</v>
      </c>
      <c r="I56" s="3">
        <v>54999.629487940001</v>
      </c>
      <c r="J56" s="3">
        <v>585570.14675343595</v>
      </c>
      <c r="K56" s="5">
        <v>583971.18017232895</v>
      </c>
      <c r="L56" s="5">
        <v>153236.14063783101</v>
      </c>
      <c r="M56">
        <v>248480.9</v>
      </c>
      <c r="N56">
        <v>0.65</v>
      </c>
      <c r="O56">
        <v>22.6</v>
      </c>
    </row>
    <row r="57" spans="1:15">
      <c r="A57" s="2">
        <v>44986</v>
      </c>
      <c r="B57">
        <v>289399.699108209</v>
      </c>
      <c r="C57" s="3">
        <f>0.28*K57+0.285*L57</f>
        <v>207157.67451012152</v>
      </c>
      <c r="D57" s="3">
        <v>451136.82509084599</v>
      </c>
      <c r="E57" s="3">
        <v>369768.11605031899</v>
      </c>
      <c r="F57" s="3">
        <v>289399.699108209</v>
      </c>
      <c r="G57" s="3">
        <v>46875.708057672797</v>
      </c>
      <c r="H57" s="3">
        <v>644745.23315850098</v>
      </c>
      <c r="I57" s="3">
        <v>54990.387311179999</v>
      </c>
      <c r="J57" s="3">
        <v>589754.84584732098</v>
      </c>
      <c r="K57" s="5">
        <v>585570.14675343595</v>
      </c>
      <c r="L57" s="5">
        <v>151572.04708476999</v>
      </c>
      <c r="M57">
        <v>235305.7</v>
      </c>
      <c r="N57">
        <v>0.97</v>
      </c>
      <c r="O57">
        <v>23.5</v>
      </c>
    </row>
    <row r="58" spans="1:15">
      <c r="A58" s="2">
        <v>45017</v>
      </c>
      <c r="B58">
        <v>291140.39965620899</v>
      </c>
      <c r="C58" s="3">
        <f>0.28*K58+0.285*L58</f>
        <v>209462.85119394961</v>
      </c>
      <c r="D58" s="3">
        <v>456021.83287761302</v>
      </c>
      <c r="E58" s="3">
        <v>378928.80436698301</v>
      </c>
      <c r="F58" s="3">
        <v>291140.39965620899</v>
      </c>
      <c r="G58" s="3">
        <v>47783.392126238097</v>
      </c>
      <c r="H58" s="3">
        <v>641437.47905934101</v>
      </c>
      <c r="I58" s="3">
        <v>55598.518089600002</v>
      </c>
      <c r="J58" s="3">
        <v>585838.96096974099</v>
      </c>
      <c r="K58" s="5">
        <v>589754.84584732098</v>
      </c>
      <c r="L58" s="5">
        <v>155549.10300596399</v>
      </c>
      <c r="M58">
        <v>234972.1</v>
      </c>
      <c r="N58">
        <v>0.15</v>
      </c>
      <c r="O58">
        <v>23.5</v>
      </c>
    </row>
    <row r="59" spans="1:15">
      <c r="A59" s="2">
        <v>45047</v>
      </c>
      <c r="B59">
        <v>298182.57454484701</v>
      </c>
      <c r="C59" s="3">
        <f t="shared" ref="C59:C66" si="4">0.39*K59+0.395*L59</f>
        <v>289031.66190373205</v>
      </c>
      <c r="D59" s="3">
        <v>460199.27132326999</v>
      </c>
      <c r="E59" s="3">
        <v>373968.456914109</v>
      </c>
      <c r="F59" s="3">
        <v>298182.57454484701</v>
      </c>
      <c r="G59" s="3">
        <v>49466.919720028702</v>
      </c>
      <c r="H59" s="3">
        <v>644412.65057936101</v>
      </c>
      <c r="I59" s="3">
        <v>58652.750692549998</v>
      </c>
      <c r="J59" s="3">
        <v>585759.89988681104</v>
      </c>
      <c r="K59" s="5">
        <v>585838.96096974099</v>
      </c>
      <c r="L59" s="5">
        <v>153302.44841907101</v>
      </c>
      <c r="M59">
        <v>236196.1</v>
      </c>
      <c r="N59">
        <v>-0.2</v>
      </c>
      <c r="O59">
        <v>23.5</v>
      </c>
    </row>
    <row r="60" spans="1:15">
      <c r="A60" s="2">
        <v>45078</v>
      </c>
      <c r="B60">
        <v>296339.10505264899</v>
      </c>
      <c r="C60" s="3">
        <f t="shared" si="4"/>
        <v>288348.41146681213</v>
      </c>
      <c r="D60" s="3">
        <v>456231.08117142302</v>
      </c>
      <c r="E60" s="3">
        <v>318288.74938021699</v>
      </c>
      <c r="F60" s="3">
        <v>296339.10505264899</v>
      </c>
      <c r="G60" s="3">
        <v>48761.5501711424</v>
      </c>
      <c r="H60" s="3">
        <v>641716.87475708604</v>
      </c>
      <c r="I60" s="3">
        <v>60911.191224009999</v>
      </c>
      <c r="J60" s="3">
        <v>580805.68353307596</v>
      </c>
      <c r="K60" s="5">
        <v>585759.89988681104</v>
      </c>
      <c r="L60" s="5">
        <v>151650.76078723001</v>
      </c>
      <c r="M60">
        <v>314459.8</v>
      </c>
      <c r="N60">
        <v>-0.18</v>
      </c>
      <c r="O60">
        <v>24.1</v>
      </c>
    </row>
    <row r="61" spans="1:15">
      <c r="A61" s="2">
        <v>45108</v>
      </c>
      <c r="B61">
        <v>295238.65918868198</v>
      </c>
      <c r="C61" s="3">
        <f t="shared" si="4"/>
        <v>283460.12403075094</v>
      </c>
      <c r="D61" s="3">
        <v>451591.75589420297</v>
      </c>
      <c r="E61" s="3">
        <v>320149.70158672798</v>
      </c>
      <c r="F61" s="3">
        <v>295238.65918868198</v>
      </c>
      <c r="G61" s="3">
        <v>47964.011085543898</v>
      </c>
      <c r="H61" s="3">
        <v>641259.35867993196</v>
      </c>
      <c r="I61" s="3">
        <v>62792.991947000002</v>
      </c>
      <c r="J61" s="3">
        <v>578466.36673293205</v>
      </c>
      <c r="K61" s="5">
        <v>580805.68353307596</v>
      </c>
      <c r="L61" s="5">
        <v>144166.85431101601</v>
      </c>
      <c r="M61">
        <v>313801.3</v>
      </c>
      <c r="N61">
        <v>0.02</v>
      </c>
      <c r="O61">
        <v>24.1</v>
      </c>
    </row>
    <row r="62" spans="1:15">
      <c r="A62" s="2">
        <v>45139</v>
      </c>
      <c r="B62">
        <v>295155.96404193802</v>
      </c>
      <c r="C62" s="3">
        <f t="shared" si="4"/>
        <v>282125.37468257436</v>
      </c>
      <c r="D62" s="3">
        <v>452253.14344114898</v>
      </c>
      <c r="E62" s="3">
        <v>325082.19528704399</v>
      </c>
      <c r="F62" s="3">
        <v>295155.96404193802</v>
      </c>
      <c r="G62" s="3">
        <v>49579.176225087598</v>
      </c>
      <c r="H62" s="3">
        <v>646051.37719301495</v>
      </c>
      <c r="I62" s="3">
        <v>61970.500720999997</v>
      </c>
      <c r="J62" s="3">
        <v>584080.87647201505</v>
      </c>
      <c r="K62" s="5">
        <v>578466.36673293205</v>
      </c>
      <c r="L62" s="5">
        <v>143097.44723223001</v>
      </c>
      <c r="M62">
        <v>314170.3</v>
      </c>
      <c r="N62">
        <v>0.11</v>
      </c>
      <c r="O62">
        <v>24.1</v>
      </c>
    </row>
    <row r="63" spans="1:15">
      <c r="A63" s="2">
        <v>45170</v>
      </c>
      <c r="B63">
        <v>289105.10043742799</v>
      </c>
      <c r="C63" s="3">
        <f t="shared" si="4"/>
        <v>283768.52039179119</v>
      </c>
      <c r="D63" s="3">
        <v>455417.14993838797</v>
      </c>
      <c r="E63" s="3">
        <v>342805.42250120197</v>
      </c>
      <c r="F63" s="3">
        <v>289105.10043742799</v>
      </c>
      <c r="G63" s="3">
        <v>49696.656704467699</v>
      </c>
      <c r="H63" s="3">
        <v>648281.93572112895</v>
      </c>
      <c r="I63" s="3">
        <v>60363.673918710003</v>
      </c>
      <c r="J63" s="3">
        <v>587918.26180241897</v>
      </c>
      <c r="K63" s="5">
        <v>584080.87647201505</v>
      </c>
      <c r="L63" s="5">
        <v>141713.869791659</v>
      </c>
      <c r="M63">
        <v>312869.90000000002</v>
      </c>
      <c r="N63">
        <v>0.45</v>
      </c>
      <c r="O63">
        <v>24.1</v>
      </c>
    </row>
    <row r="64" spans="1:15">
      <c r="A64" s="2">
        <v>45200</v>
      </c>
      <c r="B64">
        <v>287059.96204733901</v>
      </c>
      <c r="C64" s="3">
        <f t="shared" si="4"/>
        <v>285693.45659657387</v>
      </c>
      <c r="D64" s="3">
        <v>470579.00407434901</v>
      </c>
      <c r="E64" s="3">
        <v>349513.522907009</v>
      </c>
      <c r="F64" s="3">
        <v>287059.96204733901</v>
      </c>
      <c r="G64" s="3">
        <v>49626.096963880598</v>
      </c>
      <c r="H64" s="3">
        <v>656563.57359258202</v>
      </c>
      <c r="I64" s="3">
        <v>60601.520739740001</v>
      </c>
      <c r="J64" s="3">
        <v>595962.05285284203</v>
      </c>
      <c r="K64" s="5">
        <v>587918.26180241897</v>
      </c>
      <c r="L64" s="5">
        <v>142798.31517374801</v>
      </c>
      <c r="M64">
        <v>317953.40000000002</v>
      </c>
      <c r="N64">
        <v>0.34</v>
      </c>
      <c r="O64">
        <v>24.1</v>
      </c>
    </row>
    <row r="65" spans="1:15">
      <c r="A65" s="2">
        <v>45231</v>
      </c>
      <c r="B65">
        <v>285295.79567401402</v>
      </c>
      <c r="C65" s="3">
        <f t="shared" si="4"/>
        <v>287488.00604646577</v>
      </c>
      <c r="D65" s="3">
        <v>478259.81732244103</v>
      </c>
      <c r="E65" s="3">
        <v>363164.631351622</v>
      </c>
      <c r="F65" s="3">
        <v>285295.79567401402</v>
      </c>
      <c r="G65" s="3">
        <v>49907.7918340666</v>
      </c>
      <c r="H65" s="3">
        <v>660106.41297375294</v>
      </c>
      <c r="I65" s="3">
        <v>60494.923485159998</v>
      </c>
      <c r="J65" s="3">
        <v>599611.48948859295</v>
      </c>
      <c r="K65" s="5">
        <v>595962.05285284203</v>
      </c>
      <c r="L65" s="5">
        <v>139399.507427487</v>
      </c>
      <c r="M65">
        <v>321540</v>
      </c>
      <c r="N65">
        <v>0.56000000000000005</v>
      </c>
      <c r="O65">
        <v>24.1</v>
      </c>
    </row>
    <row r="66" spans="1:15">
      <c r="A66" s="2">
        <v>45261</v>
      </c>
      <c r="B66">
        <v>276479.95427122002</v>
      </c>
      <c r="C66" s="3">
        <f t="shared" si="4"/>
        <v>291609.28542296053</v>
      </c>
      <c r="D66" s="3">
        <v>453807.31985771703</v>
      </c>
      <c r="E66" s="3">
        <v>354654.78933629103</v>
      </c>
      <c r="F66" s="3">
        <v>276479.95427122002</v>
      </c>
      <c r="G66" s="3">
        <v>46123.493647303301</v>
      </c>
      <c r="H66" s="3">
        <v>669522.84525932604</v>
      </c>
      <c r="I66" s="3">
        <v>63231.862574699997</v>
      </c>
      <c r="J66" s="3">
        <v>606290.98268462601</v>
      </c>
      <c r="K66" s="5">
        <v>599611.48948859295</v>
      </c>
      <c r="L66" s="5">
        <v>146229.88486685901</v>
      </c>
      <c r="M66">
        <v>312291</v>
      </c>
      <c r="N66">
        <v>0.33</v>
      </c>
      <c r="O66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Ginelio Hermilio</dc:creator>
  <cp:lastModifiedBy>Ginelio Hermilio</cp:lastModifiedBy>
  <dcterms:created xsi:type="dcterms:W3CDTF">2025-12-25T15:14:21Z</dcterms:created>
  <dcterms:modified xsi:type="dcterms:W3CDTF">2025-12-26T18:49:56Z</dcterms:modified>
</cp:coreProperties>
</file>